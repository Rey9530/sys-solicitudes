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ys-solicitudes\"/>
    </mc:Choice>
  </mc:AlternateContent>
  <xr:revisionPtr revIDLastSave="0" documentId="8_{9256E7C1-6D17-4915-A6E1-0991B5CC19A2}" xr6:coauthVersionLast="47" xr6:coauthVersionMax="47" xr10:uidLastSave="{00000000-0000-0000-0000-000000000000}"/>
  <bookViews>
    <workbookView xWindow="780" yWindow="780" windowWidth="28800" windowHeight="17055" xr2:uid="{00000000-000D-0000-FFFF-FFFF00000000}"/>
  </bookViews>
  <sheets>
    <sheet name="INFORMACION A LLENAR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2" l="1"/>
  <c r="AA5" i="2" s="1"/>
  <c r="Z5" i="2"/>
  <c r="Y6" i="2"/>
  <c r="Z6" i="2"/>
  <c r="AA6" i="2"/>
  <c r="Y7" i="2"/>
  <c r="Z7" i="2"/>
  <c r="AA7" i="2"/>
  <c r="Y8" i="2"/>
  <c r="Z8" i="2"/>
  <c r="AA8" i="2" s="1"/>
  <c r="Y9" i="2"/>
  <c r="Z9" i="2"/>
  <c r="AA9" i="2"/>
  <c r="Y10" i="2"/>
  <c r="Z10" i="2"/>
  <c r="AA10" i="2"/>
  <c r="Y11" i="2"/>
  <c r="Z11" i="2"/>
  <c r="AA11" i="2"/>
  <c r="Y12" i="2"/>
  <c r="AA12" i="2" s="1"/>
  <c r="Z12" i="2"/>
  <c r="Y13" i="2"/>
  <c r="Z13" i="2"/>
  <c r="AA13" i="2"/>
</calcChain>
</file>

<file path=xl/sharedStrings.xml><?xml version="1.0" encoding="utf-8"?>
<sst xmlns="http://schemas.openxmlformats.org/spreadsheetml/2006/main" count="118" uniqueCount="98">
  <si>
    <t xml:space="preserve">ÁREA mt2 MEDICION REAL </t>
  </si>
  <si>
    <t>FECHA PAGO DEPOSITO</t>
  </si>
  <si>
    <t>INICIO DE OPERACIONES</t>
  </si>
  <si>
    <t>TOTAL</t>
  </si>
  <si>
    <t>RAZON SOCIAL</t>
  </si>
  <si>
    <t>COMENTARIOS</t>
  </si>
  <si>
    <t xml:space="preserve"> MODULO</t>
  </si>
  <si>
    <t>ENTRETENIMIENTO Y TECNOLOGÍA, S.A. DE C.V.</t>
  </si>
  <si>
    <t>SANTOS MOLINA ALFARO</t>
  </si>
  <si>
    <t>INDUSTRIAS CARICIA, S.A. DE C.V.</t>
  </si>
  <si>
    <t>INTRADE, S.A. DE C.V.</t>
  </si>
  <si>
    <t>CORPORACION BM, S.A. de C.V.</t>
  </si>
  <si>
    <t>HPR RESTAURANTES, S.A. DE C.V.</t>
  </si>
  <si>
    <t>UNICOMER, S.A. DE C.V.</t>
  </si>
  <si>
    <t>A</t>
  </si>
  <si>
    <t>B</t>
  </si>
  <si>
    <t>C</t>
  </si>
  <si>
    <t>D</t>
  </si>
  <si>
    <t>E</t>
  </si>
  <si>
    <t>F</t>
  </si>
  <si>
    <t>K</t>
  </si>
  <si>
    <t>LOCAL</t>
  </si>
  <si>
    <t>3-A</t>
  </si>
  <si>
    <t>ÁREA</t>
  </si>
  <si>
    <t>PAD</t>
  </si>
  <si>
    <t>NIVEL</t>
  </si>
  <si>
    <t>MEDIDOR ENERGIA</t>
  </si>
  <si>
    <t>MEDIDOR AGUA</t>
  </si>
  <si>
    <t>INFORMACION PARA CREACION DE LOCALES</t>
  </si>
  <si>
    <t>INFORMACION PARA CREACION DE INQUILINOS</t>
  </si>
  <si>
    <t>EL VENDEDOR</t>
  </si>
  <si>
    <t>LA CASA DE LAS LAMPARAS</t>
  </si>
  <si>
    <t>PINTURAS NORTE</t>
  </si>
  <si>
    <t>TELMA JANETH RODRÍGUEZ RIVERA</t>
  </si>
  <si>
    <t>OPTICAS TELMA</t>
  </si>
  <si>
    <t>LA PAMPA USULUTECA</t>
  </si>
  <si>
    <t>BANCO MUNICIPAL</t>
  </si>
  <si>
    <t>TAQUERIA LOS POTRILLOS</t>
  </si>
  <si>
    <t>RADIOSHACK</t>
  </si>
  <si>
    <t>GIRO AUTORIZADO</t>
  </si>
  <si>
    <t>PLAZO (AÑOS)</t>
  </si>
  <si>
    <t>CUOTA ARRENDAMIENTO</t>
  </si>
  <si>
    <t>CUOTA CAM</t>
  </si>
  <si>
    <t>TOTAL CANON ARRENDAMIENTO</t>
  </si>
  <si>
    <t>TOTAL CAM</t>
  </si>
  <si>
    <t>FECHA ENTREGA DE LOCAL</t>
  </si>
  <si>
    <t>PERIODO DE GRACIA</t>
  </si>
  <si>
    <t>VENCIMIENTO DEL CONTRATO</t>
  </si>
  <si>
    <t>DEPOSITO DE GARANTÍA</t>
  </si>
  <si>
    <t>AVISO DE TERMINACIÓN</t>
  </si>
  <si>
    <t>Venta de ropa</t>
  </si>
  <si>
    <t>Venta de alimentos y bebidas</t>
  </si>
  <si>
    <t>Venta de lentes</t>
  </si>
  <si>
    <t>Banco</t>
  </si>
  <si>
    <t>Venta de electrónicos</t>
  </si>
  <si>
    <t>CATEGORIA</t>
  </si>
  <si>
    <t>SUBCATEGORIA</t>
  </si>
  <si>
    <t>ALIMENTOS Y BEBIDAS</t>
  </si>
  <si>
    <t>RESTAURANTE</t>
  </si>
  <si>
    <t>HELADERIA</t>
  </si>
  <si>
    <t>MODA &amp; ACCESORIOS</t>
  </si>
  <si>
    <t>MODA FEMENINA</t>
  </si>
  <si>
    <t>RETAIL ESPECIALIZADO</t>
  </si>
  <si>
    <t>VENTA DE LAMPARAS</t>
  </si>
  <si>
    <t>HOGAR Y DECORACION</t>
  </si>
  <si>
    <t>TECNOLOGIA</t>
  </si>
  <si>
    <t>SERVICIOS</t>
  </si>
  <si>
    <t>BANCO</t>
  </si>
  <si>
    <t>OPTICA</t>
  </si>
  <si>
    <t>CONDICIONES DE INCREMENTO CANON</t>
  </si>
  <si>
    <t>REPRESENTANTE LEGAL</t>
  </si>
  <si>
    <t>JUAN PEREZ</t>
  </si>
  <si>
    <t>JUAN PORRAS</t>
  </si>
  <si>
    <t>CARLOS CASTRO</t>
  </si>
  <si>
    <t>LEONEL MESSI</t>
  </si>
  <si>
    <t>LUIS SUAREZ</t>
  </si>
  <si>
    <t>LUIS VELASQUEZ</t>
  </si>
  <si>
    <t>JOSE LUIS MENDEZ</t>
  </si>
  <si>
    <t>MANUEL CASTRO</t>
  </si>
  <si>
    <t>RAFAEL VARGAS</t>
  </si>
  <si>
    <t>FECHA INICIO DE CONTRATO</t>
  </si>
  <si>
    <t>FECHA FIN DE CONTRATO</t>
  </si>
  <si>
    <t>NIT DE LA EMPRESA</t>
  </si>
  <si>
    <t>CORREO DE RECEPCION DTE</t>
  </si>
  <si>
    <t>NUMERO DE TELEFONO</t>
  </si>
  <si>
    <t>NUMERO DE NRC</t>
  </si>
  <si>
    <t>TIPO DE CLIENTE</t>
  </si>
  <si>
    <t>GRANDE</t>
  </si>
  <si>
    <t>MEDIANO</t>
  </si>
  <si>
    <t>OTRO</t>
  </si>
  <si>
    <t>CONTACTO</t>
  </si>
  <si>
    <t>CORREO CONTACTO</t>
  </si>
  <si>
    <t>TELEFONO CONTACTO</t>
  </si>
  <si>
    <t>CARGO</t>
  </si>
  <si>
    <t>NOMBRE COMERCIAL</t>
  </si>
  <si>
    <t>CONTACTO #2</t>
  </si>
  <si>
    <t>CORREO CONTACTO #2</t>
  </si>
  <si>
    <t>TELEFONO CONTACTO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</si>
</sst>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C$&quot;* #,##0.00_-;\-&quot;C$&quot;* #,##0.00_-;_-&quot;C$&quot;* &quot;-&quot;??_-;_-@_-"/>
    <numFmt numFmtId="165" formatCode="_-[$$-409]* #,##0.00_ ;_-[$$-409]* \-#,##0.00\ ;_-[$$-409]* &quot;-&quot;??_ ;_-@_ "/>
    <numFmt numFmtId="166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5A1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165" fontId="5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 vertical="center"/>
    </xf>
    <xf numFmtId="0" fontId="0" fillId="0" borderId="5" xfId="2" applyNumberFormat="1" applyFont="1" applyFill="1" applyBorder="1" applyAlignment="1">
      <alignment horizontal="center" vertical="center"/>
    </xf>
    <xf numFmtId="0" fontId="0" fillId="0" borderId="3" xfId="2" applyNumberFormat="1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4" fillId="2" borderId="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/>
  </cellXfs>
  <cellStyles count="3">
    <cellStyle name="Moneda" xfId="1" builtinId="4"/>
    <cellStyle name="Moneda 2" xfId="2" xr:uid="{3420CFED-372A-42AB-9589-B7993FCF5C2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19"/>
  <sheetViews>
    <sheetView tabSelected="1" zoomScale="60" zoomScaleNormal="60" workbookViewId="0">
      <selection activeCell="J19" sqref="J19"/>
    </sheetView>
  </sheetViews>
  <sheetFormatPr baseColWidth="10" defaultRowHeight="15" x14ac:dyDescent="0.25"/>
  <cols>
    <col min="2" max="2" width="14" bestFit="1" customWidth="1"/>
    <col min="3" max="3" width="9.85546875" style="2" bestFit="1" customWidth="1"/>
    <col min="4" max="4" width="11.28515625" style="2" bestFit="1" customWidth="1"/>
    <col min="5" max="5" width="10.140625" bestFit="1" customWidth="1"/>
    <col min="6" max="6" width="14.42578125" bestFit="1" customWidth="1"/>
    <col min="7" max="7" width="12.5703125" bestFit="1" customWidth="1"/>
    <col min="10" max="10" width="35.140625" bestFit="1" customWidth="1"/>
    <col min="11" max="11" width="57.7109375" bestFit="1" customWidth="1"/>
    <col min="12" max="12" width="23.7109375" bestFit="1" customWidth="1"/>
    <col min="13" max="13" width="20.5703125" bestFit="1" customWidth="1"/>
    <col min="14" max="14" width="24" bestFit="1" customWidth="1"/>
    <col min="15" max="16" width="18" bestFit="1" customWidth="1"/>
    <col min="17" max="17" width="17.28515625" bestFit="1" customWidth="1"/>
    <col min="18" max="18" width="12" bestFit="1" customWidth="1"/>
    <col min="19" max="19" width="20.42578125" bestFit="1" customWidth="1"/>
    <col min="20" max="20" width="22.7109375" bestFit="1" customWidth="1"/>
    <col min="21" max="21" width="21.5703125" bestFit="1" customWidth="1"/>
    <col min="22" max="22" width="12" bestFit="1" customWidth="1"/>
    <col min="23" max="23" width="23.42578125" customWidth="1"/>
    <col min="24" max="24" width="22.7109375" bestFit="1" customWidth="1"/>
    <col min="25" max="25" width="17.140625" bestFit="1" customWidth="1"/>
    <col min="26" max="26" width="34.140625" bestFit="1" customWidth="1"/>
    <col min="27" max="27" width="29.140625" bestFit="1" customWidth="1"/>
    <col min="28" max="28" width="24" bestFit="1" customWidth="1"/>
    <col min="29" max="29" width="15.140625" bestFit="1" customWidth="1"/>
    <col min="30" max="30" width="23.28515625" bestFit="1" customWidth="1"/>
    <col min="31" max="31" width="25.5703125" bestFit="1" customWidth="1"/>
    <col min="32" max="32" width="12.85546875" bestFit="1" customWidth="1"/>
    <col min="33" max="33" width="25.5703125" bestFit="1" customWidth="1"/>
    <col min="34" max="34" width="12.42578125" bestFit="1" customWidth="1"/>
    <col min="35" max="35" width="12.28515625" bestFit="1" customWidth="1"/>
    <col min="36" max="36" width="20.5703125" bestFit="1" customWidth="1"/>
    <col min="37" max="37" width="20.140625" bestFit="1" customWidth="1"/>
    <col min="38" max="38" width="21.85546875" bestFit="1" customWidth="1"/>
    <col min="39" max="39" width="20.5703125" bestFit="1" customWidth="1"/>
    <col min="40" max="40" width="24.85546875" bestFit="1" customWidth="1"/>
    <col min="41" max="41" width="16.85546875" bestFit="1" customWidth="1"/>
    <col min="42" max="42" width="22" bestFit="1" customWidth="1"/>
    <col min="43" max="43" width="23.42578125" bestFit="1" customWidth="1"/>
    <col min="44" max="44" width="20.5703125" bestFit="1" customWidth="1"/>
    <col min="45" max="45" width="30.5703125" bestFit="1" customWidth="1"/>
    <col min="46" max="46" width="18" customWidth="1"/>
  </cols>
  <sheetData>
    <row r="2" spans="2:25" ht="22.15" customHeight="1" x14ac:dyDescent="0.25">
      <c r="B2" s="26" t="s">
        <v>28</v>
      </c>
      <c r="C2" s="26"/>
      <c r="D2" s="26"/>
      <c r="E2" s="26"/>
      <c r="F2" s="26"/>
      <c r="G2" s="26"/>
    </row>
    <row r="3" spans="2:25" ht="41.45" customHeight="1" x14ac:dyDescent="0.25">
      <c r="B3" s="11" t="s">
        <v>6</v>
      </c>
      <c r="C3" s="11" t="s">
        <v>25</v>
      </c>
      <c r="D3" s="11" t="s">
        <v>21</v>
      </c>
      <c r="E3" s="11" t="s">
        <v>23</v>
      </c>
      <c r="F3" s="11" t="s">
        <v>26</v>
      </c>
      <c r="G3" s="11" t="s">
        <v>27</v>
      </c>
      <c r="H3" s="1"/>
    </row>
    <row r="4" spans="2:25" ht="33" customHeight="1" x14ac:dyDescent="0.25">
      <c r="B4" s="4" t="s">
        <v>14</v>
      </c>
      <c r="C4" s="4">
        <v>1</v>
      </c>
      <c r="D4" s="4">
        <v>45</v>
      </c>
      <c r="E4" s="4">
        <v>556.22</v>
      </c>
      <c r="F4" s="16">
        <v>10456050</v>
      </c>
      <c r="G4" s="16">
        <v>9999999</v>
      </c>
    </row>
    <row r="5" spans="2:25" ht="33.75" customHeight="1" x14ac:dyDescent="0.25">
      <c r="B5" s="4" t="s">
        <v>15</v>
      </c>
      <c r="C5" s="4">
        <v>2</v>
      </c>
      <c r="D5" s="4">
        <v>56</v>
      </c>
      <c r="E5" s="4">
        <v>230.77</v>
      </c>
      <c r="F5" s="16">
        <v>96700465</v>
      </c>
      <c r="G5" s="16">
        <v>9999998</v>
      </c>
    </row>
    <row r="6" spans="2:25" ht="33" customHeight="1" x14ac:dyDescent="0.25">
      <c r="B6" s="4" t="s">
        <v>16</v>
      </c>
      <c r="C6" s="4">
        <v>1</v>
      </c>
      <c r="D6" s="4">
        <v>3</v>
      </c>
      <c r="E6" s="4">
        <v>96</v>
      </c>
      <c r="F6" s="16">
        <v>96746914</v>
      </c>
      <c r="G6" s="16">
        <v>9999997</v>
      </c>
    </row>
    <row r="7" spans="2:25" ht="33" customHeight="1" x14ac:dyDescent="0.25">
      <c r="B7" s="4" t="s">
        <v>16</v>
      </c>
      <c r="C7" s="4">
        <v>1</v>
      </c>
      <c r="D7" s="4" t="s">
        <v>22</v>
      </c>
      <c r="E7" s="4">
        <v>54.64</v>
      </c>
      <c r="F7" s="16">
        <v>96741831</v>
      </c>
      <c r="G7" s="16">
        <v>9999996</v>
      </c>
    </row>
    <row r="8" spans="2:25" ht="33" customHeight="1" x14ac:dyDescent="0.25">
      <c r="B8" s="4" t="s">
        <v>17</v>
      </c>
      <c r="C8" s="4">
        <v>2</v>
      </c>
      <c r="D8" s="4">
        <v>14</v>
      </c>
      <c r="E8" s="4">
        <v>93.37</v>
      </c>
      <c r="F8" s="16">
        <v>96700456</v>
      </c>
      <c r="G8" s="16">
        <v>9999995</v>
      </c>
    </row>
    <row r="9" spans="2:25" ht="33" customHeight="1" x14ac:dyDescent="0.25">
      <c r="B9" s="4" t="s">
        <v>18</v>
      </c>
      <c r="C9" s="4">
        <v>2</v>
      </c>
      <c r="D9" s="4">
        <v>24</v>
      </c>
      <c r="E9" s="4">
        <v>73.150000000000006</v>
      </c>
      <c r="F9" s="16">
        <v>96747368</v>
      </c>
      <c r="G9" s="16">
        <v>9999994</v>
      </c>
    </row>
    <row r="10" spans="2:25" ht="33.75" customHeight="1" x14ac:dyDescent="0.25">
      <c r="B10" s="4" t="s">
        <v>19</v>
      </c>
      <c r="C10" s="14">
        <v>1</v>
      </c>
      <c r="D10" s="14">
        <v>36</v>
      </c>
      <c r="E10" s="4">
        <v>73.150000000000006</v>
      </c>
      <c r="F10" s="16">
        <v>96746108</v>
      </c>
      <c r="G10" s="16">
        <v>9999993</v>
      </c>
    </row>
    <row r="11" spans="2:25" ht="33" customHeight="1" x14ac:dyDescent="0.25">
      <c r="B11" s="4" t="s">
        <v>20</v>
      </c>
      <c r="C11" s="15">
        <v>1</v>
      </c>
      <c r="D11" s="15">
        <v>5</v>
      </c>
      <c r="E11" s="4">
        <v>146.30000000000001</v>
      </c>
      <c r="F11" s="17">
        <v>96700436</v>
      </c>
      <c r="G11" s="16">
        <v>9999992</v>
      </c>
    </row>
    <row r="12" spans="2:25" ht="33" customHeight="1" x14ac:dyDescent="0.25">
      <c r="B12" s="4" t="s">
        <v>24</v>
      </c>
      <c r="C12" s="15">
        <v>1</v>
      </c>
      <c r="D12" s="15">
        <v>4</v>
      </c>
      <c r="E12" s="4">
        <v>49</v>
      </c>
      <c r="F12" s="18">
        <v>96700476</v>
      </c>
      <c r="G12" s="16">
        <v>9999991</v>
      </c>
    </row>
    <row r="13" spans="2:25" ht="15.75" x14ac:dyDescent="0.25">
      <c r="L13" s="24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9" spans="10:10" x14ac:dyDescent="0.25">
      <c r="J19" s="27"/>
    </row>
  </sheetData>
  <mergeCells count="1">
    <mergeCell ref="B2:G2"/>
  </mergeCells>
  <pageMargins left="0.7" right="0.7" top="0.75" bottom="0.75" header="0.3" footer="0.3"/>
  <pageSetup paperSize="9"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FE72-0FB9-4B29-B4E1-F8876106BFB1}">
  <dimension ref="B3:AL13"/>
  <sheetViews>
    <sheetView topLeftCell="C1" workbookViewId="0">
      <selection activeCell="H14" sqref="H14"/>
    </sheetView>
  </sheetViews>
  <sheetFormatPr baseColWidth="10" defaultRowHeight="15" x14ac:dyDescent="0.25"/>
  <cols>
    <col min="2" max="2" width="26.85546875" bestFit="1" customWidth="1"/>
    <col min="3" max="3" width="46.7109375" bestFit="1" customWidth="1"/>
    <col min="4" max="4" width="18.85546875" bestFit="1" customWidth="1"/>
    <col min="5" max="5" width="10.42578125" bestFit="1" customWidth="1"/>
    <col min="6" max="6" width="10.28515625" bestFit="1" customWidth="1"/>
    <col min="7" max="7" width="11.140625" bestFit="1" customWidth="1"/>
    <col min="8" max="8" width="10" bestFit="1" customWidth="1"/>
    <col min="9" max="9" width="10.140625" bestFit="1" customWidth="1"/>
    <col min="10" max="10" width="7.85546875" bestFit="1" customWidth="1"/>
    <col min="11" max="11" width="10.140625" bestFit="1" customWidth="1"/>
    <col min="12" max="12" width="11.140625" bestFit="1" customWidth="1"/>
    <col min="13" max="13" width="10.140625" bestFit="1" customWidth="1"/>
    <col min="14" max="14" width="7.85546875" bestFit="1" customWidth="1"/>
    <col min="15" max="15" width="10.140625" bestFit="1" customWidth="1"/>
    <col min="16" max="16" width="11.140625" bestFit="1" customWidth="1"/>
    <col min="17" max="17" width="10.28515625" bestFit="1" customWidth="1"/>
    <col min="18" max="18" width="28.85546875" bestFit="1" customWidth="1"/>
    <col min="19" max="19" width="22.85546875" bestFit="1" customWidth="1"/>
    <col min="20" max="20" width="17.7109375" bestFit="1" customWidth="1"/>
    <col min="21" max="21" width="8.140625" bestFit="1" customWidth="1"/>
    <col min="22" max="22" width="11" bestFit="1" customWidth="1"/>
    <col min="23" max="23" width="10.5703125" bestFit="1" customWidth="1"/>
    <col min="24" max="24" width="7.7109375" bestFit="1" customWidth="1"/>
    <col min="26" max="27" width="10.28515625" bestFit="1" customWidth="1"/>
    <col min="29" max="29" width="10.85546875" bestFit="1" customWidth="1"/>
    <col min="30" max="30" width="10.28515625" bestFit="1" customWidth="1"/>
    <col min="31" max="31" width="10.85546875" bestFit="1" customWidth="1"/>
    <col min="32" max="32" width="10.28515625" bestFit="1" customWidth="1"/>
    <col min="34" max="34" width="11" bestFit="1" customWidth="1"/>
    <col min="35" max="35" width="10.42578125" bestFit="1" customWidth="1"/>
    <col min="36" max="36" width="11.28515625" bestFit="1" customWidth="1"/>
    <col min="38" max="38" width="11" bestFit="1" customWidth="1"/>
  </cols>
  <sheetData>
    <row r="3" spans="2:38" ht="23.25" x14ac:dyDescent="0.25">
      <c r="B3" s="26" t="s">
        <v>29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2:38" ht="78.75" x14ac:dyDescent="0.25">
      <c r="B4" s="12" t="s">
        <v>94</v>
      </c>
      <c r="C4" s="12" t="s">
        <v>4</v>
      </c>
      <c r="D4" s="12" t="s">
        <v>70</v>
      </c>
      <c r="E4" s="12" t="s">
        <v>82</v>
      </c>
      <c r="F4" s="12" t="s">
        <v>83</v>
      </c>
      <c r="G4" s="12" t="s">
        <v>84</v>
      </c>
      <c r="H4" s="12" t="s">
        <v>85</v>
      </c>
      <c r="I4" s="12" t="s">
        <v>90</v>
      </c>
      <c r="J4" s="12" t="s">
        <v>93</v>
      </c>
      <c r="K4" s="12" t="s">
        <v>91</v>
      </c>
      <c r="L4" s="12" t="s">
        <v>92</v>
      </c>
      <c r="M4" s="12" t="s">
        <v>95</v>
      </c>
      <c r="N4" s="12" t="s">
        <v>93</v>
      </c>
      <c r="O4" s="12" t="s">
        <v>96</v>
      </c>
      <c r="P4" s="12" t="s">
        <v>97</v>
      </c>
      <c r="Q4" s="12" t="s">
        <v>86</v>
      </c>
      <c r="R4" s="12" t="s">
        <v>39</v>
      </c>
      <c r="S4" s="12" t="s">
        <v>55</v>
      </c>
      <c r="T4" s="12" t="s">
        <v>56</v>
      </c>
      <c r="U4" s="10" t="s">
        <v>40</v>
      </c>
      <c r="V4" s="10" t="s">
        <v>0</v>
      </c>
      <c r="W4" s="20" t="s">
        <v>41</v>
      </c>
      <c r="X4" s="20" t="s">
        <v>42</v>
      </c>
      <c r="Y4" s="21" t="s">
        <v>43</v>
      </c>
      <c r="Z4" s="21" t="s">
        <v>44</v>
      </c>
      <c r="AA4" s="22" t="s">
        <v>3</v>
      </c>
      <c r="AB4" s="13" t="s">
        <v>48</v>
      </c>
      <c r="AC4" s="11" t="s">
        <v>1</v>
      </c>
      <c r="AD4" s="11" t="s">
        <v>80</v>
      </c>
      <c r="AE4" s="11" t="s">
        <v>81</v>
      </c>
      <c r="AF4" s="11" t="s">
        <v>45</v>
      </c>
      <c r="AG4" s="11" t="s">
        <v>46</v>
      </c>
      <c r="AH4" s="11" t="s">
        <v>2</v>
      </c>
      <c r="AI4" s="11" t="s">
        <v>47</v>
      </c>
      <c r="AJ4" s="11" t="s">
        <v>49</v>
      </c>
      <c r="AK4" s="11" t="s">
        <v>69</v>
      </c>
      <c r="AL4" s="11" t="s">
        <v>5</v>
      </c>
    </row>
    <row r="5" spans="2:38" ht="15.75" x14ac:dyDescent="0.25">
      <c r="B5" s="4" t="s">
        <v>30</v>
      </c>
      <c r="C5" s="3" t="s">
        <v>7</v>
      </c>
      <c r="D5" s="3" t="s">
        <v>71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 t="s">
        <v>87</v>
      </c>
      <c r="R5" s="3" t="s">
        <v>50</v>
      </c>
      <c r="S5" s="3" t="s">
        <v>60</v>
      </c>
      <c r="T5" s="3" t="s">
        <v>61</v>
      </c>
      <c r="U5" s="4">
        <v>1</v>
      </c>
      <c r="V5" s="4">
        <v>556.22</v>
      </c>
      <c r="W5" s="5">
        <v>10</v>
      </c>
      <c r="X5" s="5">
        <v>2.5</v>
      </c>
      <c r="Y5" s="5">
        <f>+V5*W5</f>
        <v>5562.2000000000007</v>
      </c>
      <c r="Z5" s="19">
        <f>+V5*X5</f>
        <v>1390.5500000000002</v>
      </c>
      <c r="AA5" s="19">
        <f>+Y5+Z5</f>
        <v>6952.7500000000009</v>
      </c>
      <c r="AB5" s="19">
        <v>1000</v>
      </c>
      <c r="AC5" s="19"/>
      <c r="AD5" s="23"/>
      <c r="AE5" s="23"/>
      <c r="AF5" s="23"/>
      <c r="AG5" s="23"/>
      <c r="AH5" s="23"/>
      <c r="AI5" s="23"/>
      <c r="AJ5" s="23"/>
      <c r="AK5" s="23"/>
      <c r="AL5" s="23"/>
    </row>
    <row r="6" spans="2:38" ht="47.25" x14ac:dyDescent="0.25">
      <c r="B6" s="4" t="s">
        <v>31</v>
      </c>
      <c r="C6" s="8" t="s">
        <v>8</v>
      </c>
      <c r="D6" s="8" t="s">
        <v>72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 t="s">
        <v>88</v>
      </c>
      <c r="R6" s="8" t="s">
        <v>63</v>
      </c>
      <c r="S6" s="8" t="s">
        <v>62</v>
      </c>
      <c r="T6" s="8" t="s">
        <v>64</v>
      </c>
      <c r="U6" s="4">
        <v>2</v>
      </c>
      <c r="V6" s="4">
        <v>230.77</v>
      </c>
      <c r="W6" s="5">
        <v>11</v>
      </c>
      <c r="X6" s="5">
        <v>3</v>
      </c>
      <c r="Y6" s="5">
        <f>+V6*W6</f>
        <v>2538.4700000000003</v>
      </c>
      <c r="Z6" s="19">
        <f>+V6*X6</f>
        <v>692.31000000000006</v>
      </c>
      <c r="AA6" s="19">
        <f>+Y6+Z6</f>
        <v>3230.78</v>
      </c>
      <c r="AB6" s="19">
        <v>1100</v>
      </c>
      <c r="AC6" s="19"/>
      <c r="AD6" s="23"/>
      <c r="AE6" s="23"/>
      <c r="AF6" s="23"/>
      <c r="AG6" s="23"/>
      <c r="AH6" s="23"/>
      <c r="AI6" s="23"/>
      <c r="AJ6" s="23"/>
      <c r="AK6" s="23"/>
      <c r="AL6" s="23"/>
    </row>
    <row r="7" spans="2:38" ht="15.75" x14ac:dyDescent="0.25">
      <c r="B7" s="4" t="s">
        <v>32</v>
      </c>
      <c r="C7" s="3" t="s">
        <v>9</v>
      </c>
      <c r="D7" s="3" t="s">
        <v>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 t="s">
        <v>89</v>
      </c>
      <c r="R7" s="3" t="s">
        <v>51</v>
      </c>
      <c r="S7" s="3" t="s">
        <v>57</v>
      </c>
      <c r="T7" s="3" t="s">
        <v>59</v>
      </c>
      <c r="U7" s="4">
        <v>3</v>
      </c>
      <c r="V7" s="4">
        <v>96</v>
      </c>
      <c r="W7" s="7">
        <v>12</v>
      </c>
      <c r="X7" s="7">
        <v>3.5</v>
      </c>
      <c r="Y7" s="5">
        <f>+V7*W7</f>
        <v>1152</v>
      </c>
      <c r="Z7" s="19">
        <f>+V7*X7</f>
        <v>336</v>
      </c>
      <c r="AA7" s="19">
        <f>+Y7+Z7</f>
        <v>1488</v>
      </c>
      <c r="AB7" s="19">
        <v>1200</v>
      </c>
      <c r="AC7" s="19"/>
      <c r="AD7" s="23"/>
      <c r="AE7" s="23"/>
      <c r="AF7" s="23"/>
      <c r="AG7" s="23"/>
      <c r="AH7" s="23"/>
      <c r="AI7" s="23"/>
      <c r="AJ7" s="23"/>
      <c r="AK7" s="23"/>
      <c r="AL7" s="23"/>
    </row>
    <row r="8" spans="2:38" ht="15.75" x14ac:dyDescent="0.25">
      <c r="B8" s="4" t="s">
        <v>32</v>
      </c>
      <c r="C8" s="3" t="s">
        <v>9</v>
      </c>
      <c r="D8" s="3" t="s">
        <v>74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 t="s">
        <v>89</v>
      </c>
      <c r="R8" s="3" t="s">
        <v>51</v>
      </c>
      <c r="S8" s="3" t="s">
        <v>57</v>
      </c>
      <c r="T8" s="3" t="s">
        <v>59</v>
      </c>
      <c r="U8" s="4">
        <v>3</v>
      </c>
      <c r="V8" s="4">
        <v>54.64</v>
      </c>
      <c r="W8" s="7">
        <v>7</v>
      </c>
      <c r="X8" s="7">
        <v>4</v>
      </c>
      <c r="Y8" s="5">
        <f>+V8*W8</f>
        <v>382.48</v>
      </c>
      <c r="Z8" s="19">
        <f>+V8*X8</f>
        <v>218.56</v>
      </c>
      <c r="AA8" s="19">
        <f>+Y8+Z8</f>
        <v>601.04</v>
      </c>
      <c r="AB8" s="19">
        <v>1300</v>
      </c>
      <c r="AC8" s="19"/>
      <c r="AD8" s="23"/>
      <c r="AE8" s="23"/>
      <c r="AF8" s="23"/>
      <c r="AG8" s="23"/>
      <c r="AH8" s="23"/>
      <c r="AI8" s="23"/>
      <c r="AJ8" s="23"/>
      <c r="AK8" s="23"/>
      <c r="AL8" s="23"/>
    </row>
    <row r="9" spans="2:38" ht="15.75" x14ac:dyDescent="0.25">
      <c r="B9" s="4" t="s">
        <v>34</v>
      </c>
      <c r="C9" s="3" t="s">
        <v>33</v>
      </c>
      <c r="D9" s="3" t="s">
        <v>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 t="s">
        <v>87</v>
      </c>
      <c r="R9" s="3" t="s">
        <v>52</v>
      </c>
      <c r="S9" s="3" t="s">
        <v>66</v>
      </c>
      <c r="T9" s="3" t="s">
        <v>68</v>
      </c>
      <c r="U9" s="4">
        <v>2</v>
      </c>
      <c r="V9" s="4">
        <v>93.37</v>
      </c>
      <c r="W9" s="5">
        <v>8</v>
      </c>
      <c r="X9" s="5">
        <v>4.5</v>
      </c>
      <c r="Y9" s="5">
        <f>+V9*W9</f>
        <v>746.96</v>
      </c>
      <c r="Z9" s="19">
        <f>+V9*X9</f>
        <v>420.16500000000002</v>
      </c>
      <c r="AA9" s="19">
        <f>+Y9+Z9</f>
        <v>1167.125</v>
      </c>
      <c r="AB9" s="19">
        <v>1400</v>
      </c>
      <c r="AC9" s="19"/>
      <c r="AD9" s="23"/>
      <c r="AE9" s="23"/>
      <c r="AF9" s="23"/>
      <c r="AG9" s="23"/>
      <c r="AH9" s="23"/>
      <c r="AI9" s="23"/>
      <c r="AJ9" s="23"/>
      <c r="AK9" s="23"/>
      <c r="AL9" s="23"/>
    </row>
    <row r="10" spans="2:38" ht="15.75" x14ac:dyDescent="0.25">
      <c r="B10" s="4" t="s">
        <v>35</v>
      </c>
      <c r="C10" s="3" t="s">
        <v>10</v>
      </c>
      <c r="D10" s="3" t="s">
        <v>76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s">
        <v>88</v>
      </c>
      <c r="R10" s="3" t="s">
        <v>51</v>
      </c>
      <c r="S10" s="3" t="s">
        <v>57</v>
      </c>
      <c r="T10" s="3" t="s">
        <v>58</v>
      </c>
      <c r="U10" s="4">
        <v>1</v>
      </c>
      <c r="V10" s="4">
        <v>73.150000000000006</v>
      </c>
      <c r="W10" s="7">
        <v>19</v>
      </c>
      <c r="X10" s="7">
        <v>5</v>
      </c>
      <c r="Y10" s="5">
        <f>+V10*W10</f>
        <v>1389.8500000000001</v>
      </c>
      <c r="Z10" s="19">
        <f>+V10*X10</f>
        <v>365.75</v>
      </c>
      <c r="AA10" s="19">
        <f>+Y10+Z10</f>
        <v>1755.6000000000001</v>
      </c>
      <c r="AB10" s="19">
        <v>1500</v>
      </c>
      <c r="AC10" s="19"/>
      <c r="AD10" s="23"/>
      <c r="AE10" s="23"/>
      <c r="AF10" s="23"/>
      <c r="AG10" s="23"/>
      <c r="AH10" s="23"/>
      <c r="AI10" s="23"/>
      <c r="AJ10" s="23"/>
      <c r="AK10" s="23"/>
      <c r="AL10" s="23"/>
    </row>
    <row r="11" spans="2:38" ht="15.75" x14ac:dyDescent="0.25">
      <c r="B11" s="4" t="s">
        <v>36</v>
      </c>
      <c r="C11" s="6" t="s">
        <v>11</v>
      </c>
      <c r="D11" s="6" t="s">
        <v>77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 t="s">
        <v>87</v>
      </c>
      <c r="R11" s="6" t="s">
        <v>53</v>
      </c>
      <c r="S11" s="6" t="s">
        <v>66</v>
      </c>
      <c r="T11" s="6" t="s">
        <v>67</v>
      </c>
      <c r="U11" s="4">
        <v>1</v>
      </c>
      <c r="V11" s="4">
        <v>73.150000000000006</v>
      </c>
      <c r="W11" s="9">
        <v>20</v>
      </c>
      <c r="X11" s="9">
        <v>6</v>
      </c>
      <c r="Y11" s="5">
        <f>+V11*W11</f>
        <v>1463</v>
      </c>
      <c r="Z11" s="19">
        <f>+V11*X11</f>
        <v>438.90000000000003</v>
      </c>
      <c r="AA11" s="19">
        <f>+Y11+Z11</f>
        <v>1901.9</v>
      </c>
      <c r="AB11" s="19">
        <v>1600</v>
      </c>
      <c r="AC11" s="19"/>
      <c r="AD11" s="23"/>
      <c r="AE11" s="23"/>
      <c r="AF11" s="23"/>
      <c r="AG11" s="23"/>
      <c r="AH11" s="23"/>
      <c r="AI11" s="23"/>
      <c r="AJ11" s="23"/>
      <c r="AK11" s="23"/>
      <c r="AL11" s="23"/>
    </row>
    <row r="12" spans="2:38" ht="15.75" x14ac:dyDescent="0.25">
      <c r="B12" s="4" t="s">
        <v>37</v>
      </c>
      <c r="C12" s="6" t="s">
        <v>12</v>
      </c>
      <c r="D12" s="6" t="s">
        <v>78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 t="s">
        <v>88</v>
      </c>
      <c r="R12" s="3" t="s">
        <v>51</v>
      </c>
      <c r="S12" s="6" t="s">
        <v>57</v>
      </c>
      <c r="T12" s="6" t="s">
        <v>58</v>
      </c>
      <c r="U12" s="4">
        <v>1</v>
      </c>
      <c r="V12" s="4">
        <v>146.30000000000001</v>
      </c>
      <c r="W12" s="7">
        <v>21</v>
      </c>
      <c r="X12" s="5">
        <v>6.5</v>
      </c>
      <c r="Y12" s="5">
        <f>+V12*W12</f>
        <v>3072.3</v>
      </c>
      <c r="Z12" s="19">
        <f>+V12*X12</f>
        <v>950.95</v>
      </c>
      <c r="AA12" s="19">
        <f>+Y12+Z12</f>
        <v>4023.25</v>
      </c>
      <c r="AB12" s="19">
        <v>1700</v>
      </c>
      <c r="AC12" s="19"/>
      <c r="AD12" s="23"/>
      <c r="AE12" s="23"/>
      <c r="AF12" s="23"/>
      <c r="AG12" s="23"/>
      <c r="AH12" s="23"/>
      <c r="AI12" s="23"/>
      <c r="AJ12" s="23"/>
      <c r="AK12" s="23"/>
      <c r="AL12" s="23"/>
    </row>
    <row r="13" spans="2:38" ht="15.75" x14ac:dyDescent="0.25">
      <c r="B13" s="4" t="s">
        <v>38</v>
      </c>
      <c r="C13" s="6" t="s">
        <v>13</v>
      </c>
      <c r="D13" s="6" t="s">
        <v>79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 t="s">
        <v>87</v>
      </c>
      <c r="R13" s="6" t="s">
        <v>54</v>
      </c>
      <c r="S13" s="6" t="s">
        <v>62</v>
      </c>
      <c r="T13" s="6" t="s">
        <v>65</v>
      </c>
      <c r="U13" s="4">
        <v>1</v>
      </c>
      <c r="V13" s="4">
        <v>49</v>
      </c>
      <c r="W13" s="9">
        <v>22</v>
      </c>
      <c r="X13" s="7">
        <v>7</v>
      </c>
      <c r="Y13" s="5">
        <f>+V13*W13</f>
        <v>1078</v>
      </c>
      <c r="Z13" s="19">
        <f>+V13*X13</f>
        <v>343</v>
      </c>
      <c r="AA13" s="19">
        <f>+Y13+Z13</f>
        <v>1421</v>
      </c>
      <c r="AB13" s="19">
        <v>1800</v>
      </c>
      <c r="AC13" s="19"/>
      <c r="AD13" s="23"/>
      <c r="AE13" s="23"/>
      <c r="AF13" s="23"/>
      <c r="AG13" s="23"/>
      <c r="AH13" s="23"/>
      <c r="AI13" s="23"/>
      <c r="AJ13" s="23"/>
      <c r="AK13" s="23"/>
      <c r="AL13" s="23"/>
    </row>
  </sheetData>
  <mergeCells count="1">
    <mergeCell ref="B3:A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 A LLENAR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Castro</dc:creator>
  <cp:lastModifiedBy>Reynaldo Ruiz</cp:lastModifiedBy>
  <dcterms:created xsi:type="dcterms:W3CDTF">2026-05-19T21:27:28Z</dcterms:created>
  <dcterms:modified xsi:type="dcterms:W3CDTF">2026-08-13T01:57:43Z</dcterms:modified>
</cp:coreProperties>
</file>